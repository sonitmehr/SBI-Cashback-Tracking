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<sst xmlns="http://schemas.openxmlformats.org/spreadsheetml/2006/main" count="195" uniqueCount="51">
  <si>
    <t>Date</t>
  </si>
  <si>
    <t>Merchant Name</t>
  </si>
  <si>
    <t>Amount</t>
  </si>
  <si>
    <t>Type</t>
  </si>
  <si>
    <t>Mode</t>
  </si>
  <si>
    <t>Cashback Expected</t>
  </si>
  <si>
    <t>Net Payment</t>
  </si>
  <si>
    <t>Done By</t>
  </si>
  <si>
    <t>2026-01-22</t>
  </si>
  <si>
    <t>CARD CASHBACK CREDIT</t>
  </si>
  <si>
    <t>Credit</t>
  </si>
  <si>
    <t>NO</t>
  </si>
  <si>
    <t>Sonit</t>
  </si>
  <si>
    <t>Payment Pending From</t>
  </si>
  <si>
    <t>2026-01-24</t>
  </si>
  <si>
    <t>AMAZONIN GURGAON IN</t>
  </si>
  <si>
    <t>Debit</t>
  </si>
  <si>
    <t>ON</t>
  </si>
  <si>
    <t>Friend</t>
  </si>
  <si>
    <t>MEESHO BANGALORE IN</t>
  </si>
  <si>
    <t>Mumma</t>
  </si>
  <si>
    <t>2026-01-25</t>
  </si>
  <si>
    <t>CAS*REDBUS INDIA PRIVA BANGALORE NOR IN</t>
  </si>
  <si>
    <t>Shreya</t>
  </si>
  <si>
    <t>TRAVELOGY ONLINE PRIVA KAMRUP IN</t>
  </si>
  <si>
    <t>2026-01-26</t>
  </si>
  <si>
    <t>AMAZON PAY INDIA PRIVA WWW.AMAZON.IN IN</t>
  </si>
  <si>
    <t>RAZ*GULLAK TECHNOLOGIE Bengaluru KA IN</t>
  </si>
  <si>
    <t>Total Pending Payments</t>
  </si>
  <si>
    <t>Cashback Received</t>
  </si>
  <si>
    <t>Reconciliation Status</t>
  </si>
  <si>
    <t>2026-01-28</t>
  </si>
  <si>
    <t>2026-01-29</t>
  </si>
  <si>
    <t>SWIGGY LIMITED BANGALORE IN</t>
  </si>
  <si>
    <t>2026-01-31</t>
  </si>
  <si>
    <t>MEESHO TECHNOLOGIES PR Bangalore IN</t>
  </si>
  <si>
    <t>ZOMATO LIMITED Gurugram IN</t>
  </si>
  <si>
    <t>2026-02-01</t>
  </si>
  <si>
    <t>2026-02-03</t>
  </si>
  <si>
    <t>AMAZON PAY INDIA PRIVA Bangalore IN</t>
  </si>
  <si>
    <t>2026-02-05</t>
  </si>
  <si>
    <t>2026-02-06</t>
  </si>
  <si>
    <t>2026-02-07</t>
  </si>
  <si>
    <t>ZOMATO NEW DELHI IN</t>
  </si>
  <si>
    <t>2026-02-08</t>
  </si>
  <si>
    <t>DISTRICT MOVIE TICKET GURUGRAM IN</t>
  </si>
  <si>
    <t>2026-02-09</t>
  </si>
  <si>
    <t>2026-02-10</t>
  </si>
  <si>
    <t>Total Transaction Amount</t>
  </si>
  <si>
    <t>Total Cashback Expected</t>
  </si>
  <si>
    <t>Cashback Difference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</si>
</sst>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ransactionTable" displayName="TransactionTable" ref="A1:H36">
  <autoFilter xmlns:etc="http://www.wps.cn/officeDocument/2017/etCustomData" ref="A1:H36" etc:filterBottomFollowUsedRange="0"/>
  <tableColumns count="8">
    <tableColumn id="1" name="Date"/>
    <tableColumn id="2" name="Merchant Name"/>
    <tableColumn id="3" name="Amount"/>
    <tableColumn id="4" name="Type"/>
    <tableColumn id="5" name="Mode"/>
    <tableColumn id="6" name="Cashback Expected"/>
    <tableColumn id="7" name="Net Payment"/>
    <tableColumn id="8" name="Done B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workbookViewId="0">
      <selection activeCell="K3" sqref="K3"/>
    </sheetView>
  </sheetViews>
  <sheetFormatPr defaultColWidth="9" defaultRowHeight="14.4"/>
  <cols>
    <col min="2" max="2" width="40.222222222222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>
      <c r="A2" t="s">
        <v>8</v>
      </c>
      <c r="B2" t="s">
        <v>9</v>
      </c>
      <c r="C2">
        <v>-1009</v>
      </c>
      <c r="D2" t="s">
        <v>10</v>
      </c>
      <c r="E2" t="s">
        <v>11</v>
      </c>
      <c r="F2">
        <f t="shared" ref="F2:F36" si="0">IF(ABS(C2)&lt;100,0,FLOOR(ABS(C2)*IF(E2="ON",0.05,IF(E2="OFF",0.01,0)),1)*SIGN(C2))</f>
        <v>0</v>
      </c>
      <c r="G2">
        <f t="shared" ref="G2:G36" si="1">C2-F2</f>
        <v>-1009</v>
      </c>
      <c r="H2" t="s">
        <v>12</v>
      </c>
      <c r="J2" t="s">
        <v>13</v>
      </c>
    </row>
    <row r="3" spans="1:11">
      <c r="A3" t="s">
        <v>14</v>
      </c>
      <c r="B3" t="s">
        <v>15</v>
      </c>
      <c r="C3">
        <v>106</v>
      </c>
      <c r="D3" t="s">
        <v>16</v>
      </c>
      <c r="E3" t="s">
        <v>17</v>
      </c>
      <c r="F3">
        <f t="shared" si="0"/>
        <v>5</v>
      </c>
      <c r="G3">
        <f t="shared" si="1"/>
        <v>101</v>
      </c>
      <c r="H3" t="s">
        <v>12</v>
      </c>
      <c r="J3" t="s">
        <v>18</v>
      </c>
      <c r="K3">
        <f>SUMIF(H2:H36,"Friend",G2:G36)</f>
        <v>9275</v>
      </c>
    </row>
    <row r="4" spans="1:11">
      <c r="A4" t="s">
        <v>14</v>
      </c>
      <c r="B4" t="s">
        <v>19</v>
      </c>
      <c r="C4">
        <v>-160</v>
      </c>
      <c r="D4" t="s">
        <v>10</v>
      </c>
      <c r="E4" t="s">
        <v>17</v>
      </c>
      <c r="F4">
        <f t="shared" si="0"/>
        <v>-8</v>
      </c>
      <c r="G4">
        <f t="shared" si="1"/>
        <v>-152</v>
      </c>
      <c r="H4" t="s">
        <v>20</v>
      </c>
      <c r="J4" t="s">
        <v>20</v>
      </c>
      <c r="K4">
        <f>SUMIF(H2:H36,"Mumma",G2:G36)</f>
        <v>399.5</v>
      </c>
    </row>
    <row r="5" spans="1:11">
      <c r="A5" t="s">
        <v>21</v>
      </c>
      <c r="B5" t="s">
        <v>22</v>
      </c>
      <c r="C5">
        <v>3570</v>
      </c>
      <c r="D5" t="s">
        <v>16</v>
      </c>
      <c r="E5" t="s">
        <v>17</v>
      </c>
      <c r="F5">
        <f t="shared" si="0"/>
        <v>178</v>
      </c>
      <c r="G5">
        <f t="shared" si="1"/>
        <v>3392</v>
      </c>
      <c r="H5" t="s">
        <v>18</v>
      </c>
      <c r="J5" t="s">
        <v>23</v>
      </c>
      <c r="K5">
        <f>SUMIF(H2:H36,"Shreya",G2:G36)</f>
        <v>296</v>
      </c>
    </row>
    <row r="6" spans="1:11">
      <c r="A6" t="s">
        <v>21</v>
      </c>
      <c r="B6" t="s">
        <v>24</v>
      </c>
      <c r="C6">
        <v>6192</v>
      </c>
      <c r="D6" t="s">
        <v>16</v>
      </c>
      <c r="E6" t="s">
        <v>17</v>
      </c>
      <c r="F6">
        <f t="shared" si="0"/>
        <v>309</v>
      </c>
      <c r="G6">
        <f t="shared" si="1"/>
        <v>5883</v>
      </c>
      <c r="H6" t="s">
        <v>18</v>
      </c>
      <c r="J6" t="s">
        <v>12</v>
      </c>
      <c r="K6">
        <f>SUMIF(H2:H36,"Sonit",G2:G36)</f>
        <v>46748.78</v>
      </c>
    </row>
    <row r="7" spans="1:8">
      <c r="A7" t="s">
        <v>25</v>
      </c>
      <c r="B7" t="s">
        <v>26</v>
      </c>
      <c r="C7">
        <v>449</v>
      </c>
      <c r="D7" t="s">
        <v>16</v>
      </c>
      <c r="E7" t="s">
        <v>17</v>
      </c>
      <c r="F7">
        <f t="shared" si="0"/>
        <v>22</v>
      </c>
      <c r="G7">
        <f t="shared" si="1"/>
        <v>427</v>
      </c>
      <c r="H7" t="s">
        <v>12</v>
      </c>
    </row>
    <row r="8" spans="1:11">
      <c r="A8" t="s">
        <v>25</v>
      </c>
      <c r="B8" t="s">
        <v>27</v>
      </c>
      <c r="C8">
        <v>194.4</v>
      </c>
      <c r="D8" t="s">
        <v>16</v>
      </c>
      <c r="E8" t="s">
        <v>17</v>
      </c>
      <c r="F8">
        <f t="shared" si="0"/>
        <v>9</v>
      </c>
      <c r="G8">
        <f t="shared" si="1"/>
        <v>185.4</v>
      </c>
      <c r="H8" t="s">
        <v>12</v>
      </c>
      <c r="J8" t="s">
        <v>28</v>
      </c>
      <c r="K8">
        <f>SUM(K3:K6)</f>
        <v>56719.28</v>
      </c>
    </row>
    <row r="9" spans="1:11">
      <c r="A9" t="s">
        <v>25</v>
      </c>
      <c r="B9" t="s">
        <v>27</v>
      </c>
      <c r="C9">
        <v>193.5</v>
      </c>
      <c r="D9" t="s">
        <v>16</v>
      </c>
      <c r="E9" t="s">
        <v>17</v>
      </c>
      <c r="F9">
        <f t="shared" si="0"/>
        <v>9</v>
      </c>
      <c r="G9">
        <f t="shared" si="1"/>
        <v>184.5</v>
      </c>
      <c r="H9" t="s">
        <v>12</v>
      </c>
      <c r="J9" t="s">
        <v>29</v>
      </c>
      <c r="K9">
        <f>C40</f>
        <v>3043</v>
      </c>
    </row>
    <row r="10" spans="1:11">
      <c r="A10" t="s">
        <v>25</v>
      </c>
      <c r="B10" t="s">
        <v>27</v>
      </c>
      <c r="C10">
        <v>-193.5</v>
      </c>
      <c r="D10" t="s">
        <v>10</v>
      </c>
      <c r="E10" t="s">
        <v>17</v>
      </c>
      <c r="F10">
        <f t="shared" si="0"/>
        <v>-9</v>
      </c>
      <c r="G10">
        <f t="shared" si="1"/>
        <v>-184.5</v>
      </c>
      <c r="H10" t="s">
        <v>12</v>
      </c>
      <c r="J10" t="s">
        <v>30</v>
      </c>
      <c r="K10" t="str">
        <f>IF(C38=(K8+K9),"Everything adds up","Something is not adding up")</f>
        <v>Everything adds up</v>
      </c>
    </row>
    <row r="11" spans="1:8">
      <c r="A11" t="s">
        <v>31</v>
      </c>
      <c r="B11" t="s">
        <v>27</v>
      </c>
      <c r="C11">
        <v>254.7</v>
      </c>
      <c r="D11" t="s">
        <v>16</v>
      </c>
      <c r="E11" t="s">
        <v>17</v>
      </c>
      <c r="F11">
        <f t="shared" si="0"/>
        <v>12</v>
      </c>
      <c r="G11">
        <f t="shared" si="1"/>
        <v>242.7</v>
      </c>
      <c r="H11" t="s">
        <v>12</v>
      </c>
    </row>
    <row r="12" spans="1:8">
      <c r="A12" t="s">
        <v>31</v>
      </c>
      <c r="B12" t="s">
        <v>26</v>
      </c>
      <c r="C12">
        <v>-399</v>
      </c>
      <c r="D12" t="s">
        <v>10</v>
      </c>
      <c r="E12" t="s">
        <v>17</v>
      </c>
      <c r="F12">
        <f t="shared" si="0"/>
        <v>-19</v>
      </c>
      <c r="G12">
        <f t="shared" si="1"/>
        <v>-380</v>
      </c>
      <c r="H12" t="s">
        <v>12</v>
      </c>
    </row>
    <row r="13" spans="1:8">
      <c r="A13" t="s">
        <v>32</v>
      </c>
      <c r="B13" t="s">
        <v>33</v>
      </c>
      <c r="C13">
        <v>341</v>
      </c>
      <c r="D13" t="s">
        <v>16</v>
      </c>
      <c r="E13" t="s">
        <v>17</v>
      </c>
      <c r="F13">
        <f t="shared" si="0"/>
        <v>17</v>
      </c>
      <c r="G13">
        <f t="shared" si="1"/>
        <v>324</v>
      </c>
      <c r="H13" t="s">
        <v>20</v>
      </c>
    </row>
    <row r="14" spans="1:8">
      <c r="A14" t="s">
        <v>32</v>
      </c>
      <c r="B14" t="s">
        <v>26</v>
      </c>
      <c r="C14">
        <v>479.32</v>
      </c>
      <c r="D14" t="s">
        <v>16</v>
      </c>
      <c r="E14" t="s">
        <v>17</v>
      </c>
      <c r="F14">
        <f t="shared" si="0"/>
        <v>23</v>
      </c>
      <c r="G14">
        <f t="shared" si="1"/>
        <v>456.32</v>
      </c>
      <c r="H14" t="s">
        <v>12</v>
      </c>
    </row>
    <row r="15" spans="1:8">
      <c r="A15" t="s">
        <v>32</v>
      </c>
      <c r="B15" t="s">
        <v>27</v>
      </c>
      <c r="C15">
        <v>238.5</v>
      </c>
      <c r="D15" t="s">
        <v>16</v>
      </c>
      <c r="E15" t="s">
        <v>17</v>
      </c>
      <c r="F15">
        <f t="shared" si="0"/>
        <v>11</v>
      </c>
      <c r="G15">
        <f t="shared" si="1"/>
        <v>227.5</v>
      </c>
      <c r="H15" t="s">
        <v>20</v>
      </c>
    </row>
    <row r="16" spans="1:8">
      <c r="A16" t="s">
        <v>34</v>
      </c>
      <c r="B16" t="s">
        <v>35</v>
      </c>
      <c r="C16">
        <v>1052</v>
      </c>
      <c r="D16" t="s">
        <v>16</v>
      </c>
      <c r="E16" t="s">
        <v>17</v>
      </c>
      <c r="F16">
        <f t="shared" si="0"/>
        <v>52</v>
      </c>
      <c r="G16">
        <f t="shared" si="1"/>
        <v>1000</v>
      </c>
      <c r="H16" t="s">
        <v>12</v>
      </c>
    </row>
    <row r="17" spans="1:8">
      <c r="A17" t="s">
        <v>34</v>
      </c>
      <c r="B17" t="s">
        <v>36</v>
      </c>
      <c r="C17">
        <v>166.9</v>
      </c>
      <c r="D17" t="s">
        <v>16</v>
      </c>
      <c r="E17" t="s">
        <v>17</v>
      </c>
      <c r="F17">
        <f t="shared" si="0"/>
        <v>8</v>
      </c>
      <c r="G17">
        <f t="shared" si="1"/>
        <v>158.9</v>
      </c>
      <c r="H17" t="s">
        <v>12</v>
      </c>
    </row>
    <row r="18" spans="1:8">
      <c r="A18" t="s">
        <v>37</v>
      </c>
      <c r="B18" t="s">
        <v>26</v>
      </c>
      <c r="C18">
        <v>311</v>
      </c>
      <c r="D18" t="s">
        <v>16</v>
      </c>
      <c r="E18" t="s">
        <v>17</v>
      </c>
      <c r="F18">
        <f t="shared" si="0"/>
        <v>15</v>
      </c>
      <c r="G18">
        <f t="shared" si="1"/>
        <v>296</v>
      </c>
      <c r="H18" t="s">
        <v>23</v>
      </c>
    </row>
    <row r="19" spans="1:8">
      <c r="A19" t="s">
        <v>38</v>
      </c>
      <c r="B19" t="s">
        <v>26</v>
      </c>
      <c r="C19">
        <v>10000</v>
      </c>
      <c r="D19" t="s">
        <v>16</v>
      </c>
      <c r="E19" t="s">
        <v>17</v>
      </c>
      <c r="F19">
        <f t="shared" si="0"/>
        <v>500</v>
      </c>
      <c r="G19">
        <f t="shared" si="1"/>
        <v>9500</v>
      </c>
      <c r="H19" t="s">
        <v>12</v>
      </c>
    </row>
    <row r="20" spans="1:8">
      <c r="A20" t="s">
        <v>38</v>
      </c>
      <c r="B20" t="s">
        <v>26</v>
      </c>
      <c r="C20">
        <v>10000</v>
      </c>
      <c r="D20" t="s">
        <v>16</v>
      </c>
      <c r="E20" t="s">
        <v>17</v>
      </c>
      <c r="F20">
        <f t="shared" si="0"/>
        <v>500</v>
      </c>
      <c r="G20">
        <f t="shared" si="1"/>
        <v>9500</v>
      </c>
      <c r="H20" t="s">
        <v>12</v>
      </c>
    </row>
    <row r="21" spans="1:8">
      <c r="A21" t="s">
        <v>38</v>
      </c>
      <c r="B21" t="s">
        <v>27</v>
      </c>
      <c r="C21">
        <v>6000</v>
      </c>
      <c r="D21" t="s">
        <v>16</v>
      </c>
      <c r="E21" t="s">
        <v>17</v>
      </c>
      <c r="F21">
        <f t="shared" si="0"/>
        <v>300</v>
      </c>
      <c r="G21">
        <f t="shared" si="1"/>
        <v>5700</v>
      </c>
      <c r="H21" t="s">
        <v>12</v>
      </c>
    </row>
    <row r="22" spans="1:8">
      <c r="A22" t="s">
        <v>38</v>
      </c>
      <c r="B22" t="s">
        <v>39</v>
      </c>
      <c r="C22">
        <v>10000</v>
      </c>
      <c r="D22" t="s">
        <v>16</v>
      </c>
      <c r="E22" t="s">
        <v>17</v>
      </c>
      <c r="F22">
        <f t="shared" si="0"/>
        <v>500</v>
      </c>
      <c r="G22">
        <f t="shared" si="1"/>
        <v>9500</v>
      </c>
      <c r="H22" t="s">
        <v>12</v>
      </c>
    </row>
    <row r="23" spans="1:8">
      <c r="A23" t="s">
        <v>38</v>
      </c>
      <c r="B23" t="s">
        <v>39</v>
      </c>
      <c r="C23">
        <v>10000</v>
      </c>
      <c r="D23" t="s">
        <v>16</v>
      </c>
      <c r="E23" t="s">
        <v>17</v>
      </c>
      <c r="F23">
        <f t="shared" si="0"/>
        <v>500</v>
      </c>
      <c r="G23">
        <f t="shared" si="1"/>
        <v>9500</v>
      </c>
      <c r="H23" t="s">
        <v>12</v>
      </c>
    </row>
    <row r="24" spans="1:8">
      <c r="A24" t="s">
        <v>40</v>
      </c>
      <c r="B24" t="s">
        <v>27</v>
      </c>
      <c r="C24">
        <v>210</v>
      </c>
      <c r="D24" t="s">
        <v>16</v>
      </c>
      <c r="E24" t="s">
        <v>17</v>
      </c>
      <c r="F24">
        <f t="shared" si="0"/>
        <v>10</v>
      </c>
      <c r="G24">
        <f t="shared" si="1"/>
        <v>200</v>
      </c>
      <c r="H24" t="s">
        <v>12</v>
      </c>
    </row>
    <row r="25" spans="1:8">
      <c r="A25" t="s">
        <v>40</v>
      </c>
      <c r="B25" t="s">
        <v>27</v>
      </c>
      <c r="C25">
        <v>210</v>
      </c>
      <c r="D25" t="s">
        <v>16</v>
      </c>
      <c r="E25" t="s">
        <v>17</v>
      </c>
      <c r="F25">
        <f t="shared" si="0"/>
        <v>10</v>
      </c>
      <c r="G25">
        <f t="shared" si="1"/>
        <v>200</v>
      </c>
      <c r="H25" t="s">
        <v>12</v>
      </c>
    </row>
    <row r="26" spans="1:8">
      <c r="A26" t="s">
        <v>40</v>
      </c>
      <c r="B26" t="s">
        <v>27</v>
      </c>
      <c r="C26">
        <v>-210</v>
      </c>
      <c r="D26" t="s">
        <v>10</v>
      </c>
      <c r="E26" t="s">
        <v>17</v>
      </c>
      <c r="F26">
        <f t="shared" si="0"/>
        <v>-10</v>
      </c>
      <c r="G26">
        <f t="shared" si="1"/>
        <v>-200</v>
      </c>
      <c r="H26" t="s">
        <v>12</v>
      </c>
    </row>
    <row r="27" spans="1:8">
      <c r="A27" t="s">
        <v>41</v>
      </c>
      <c r="B27" t="s">
        <v>39</v>
      </c>
      <c r="C27">
        <v>350</v>
      </c>
      <c r="D27" t="s">
        <v>16</v>
      </c>
      <c r="E27" t="s">
        <v>17</v>
      </c>
      <c r="F27">
        <f t="shared" si="0"/>
        <v>17</v>
      </c>
      <c r="G27">
        <f t="shared" si="1"/>
        <v>333</v>
      </c>
      <c r="H27" t="s">
        <v>12</v>
      </c>
    </row>
    <row r="28" spans="1:8">
      <c r="A28" t="s">
        <v>42</v>
      </c>
      <c r="B28" t="s">
        <v>43</v>
      </c>
      <c r="C28">
        <v>328.5</v>
      </c>
      <c r="D28" t="s">
        <v>16</v>
      </c>
      <c r="E28" t="s">
        <v>17</v>
      </c>
      <c r="F28">
        <f t="shared" si="0"/>
        <v>16</v>
      </c>
      <c r="G28">
        <f t="shared" si="1"/>
        <v>312.5</v>
      </c>
      <c r="H28" t="s">
        <v>12</v>
      </c>
    </row>
    <row r="29" spans="1:8">
      <c r="A29" t="s">
        <v>42</v>
      </c>
      <c r="B29" t="s">
        <v>35</v>
      </c>
      <c r="C29">
        <v>-72</v>
      </c>
      <c r="D29" t="s">
        <v>10</v>
      </c>
      <c r="E29" t="s">
        <v>17</v>
      </c>
      <c r="F29">
        <f t="shared" si="0"/>
        <v>0</v>
      </c>
      <c r="G29">
        <f t="shared" si="1"/>
        <v>-72</v>
      </c>
      <c r="H29" t="s">
        <v>12</v>
      </c>
    </row>
    <row r="30" spans="1:8">
      <c r="A30" t="s">
        <v>42</v>
      </c>
      <c r="B30" t="s">
        <v>35</v>
      </c>
      <c r="C30">
        <v>-84</v>
      </c>
      <c r="D30" t="s">
        <v>10</v>
      </c>
      <c r="E30" t="s">
        <v>17</v>
      </c>
      <c r="F30">
        <f t="shared" si="0"/>
        <v>0</v>
      </c>
      <c r="G30">
        <f t="shared" si="1"/>
        <v>-84</v>
      </c>
      <c r="H30" t="s">
        <v>12</v>
      </c>
    </row>
    <row r="31" spans="1:8">
      <c r="A31" t="s">
        <v>42</v>
      </c>
      <c r="B31" t="s">
        <v>35</v>
      </c>
      <c r="C31">
        <v>-84</v>
      </c>
      <c r="D31" t="s">
        <v>10</v>
      </c>
      <c r="E31" t="s">
        <v>17</v>
      </c>
      <c r="F31">
        <f t="shared" si="0"/>
        <v>0</v>
      </c>
      <c r="G31">
        <f t="shared" si="1"/>
        <v>-84</v>
      </c>
      <c r="H31" t="s">
        <v>12</v>
      </c>
    </row>
    <row r="32" spans="1:8">
      <c r="A32" t="s">
        <v>42</v>
      </c>
      <c r="B32" t="s">
        <v>35</v>
      </c>
      <c r="C32">
        <v>-125</v>
      </c>
      <c r="D32" t="s">
        <v>10</v>
      </c>
      <c r="E32" t="s">
        <v>17</v>
      </c>
      <c r="F32">
        <f t="shared" si="0"/>
        <v>-6</v>
      </c>
      <c r="G32">
        <f t="shared" si="1"/>
        <v>-119</v>
      </c>
      <c r="H32" t="s">
        <v>12</v>
      </c>
    </row>
    <row r="33" spans="1:8">
      <c r="A33" t="s">
        <v>42</v>
      </c>
      <c r="B33" t="s">
        <v>35</v>
      </c>
      <c r="C33">
        <v>-148</v>
      </c>
      <c r="D33" t="s">
        <v>10</v>
      </c>
      <c r="E33" t="s">
        <v>17</v>
      </c>
      <c r="F33">
        <f t="shared" si="0"/>
        <v>-7</v>
      </c>
      <c r="G33">
        <f t="shared" si="1"/>
        <v>-141</v>
      </c>
      <c r="H33" t="s">
        <v>12</v>
      </c>
    </row>
    <row r="34" spans="1:8">
      <c r="A34" t="s">
        <v>44</v>
      </c>
      <c r="B34" t="s">
        <v>45</v>
      </c>
      <c r="C34">
        <v>389.96</v>
      </c>
      <c r="D34" t="s">
        <v>16</v>
      </c>
      <c r="E34" t="s">
        <v>17</v>
      </c>
      <c r="F34">
        <f t="shared" si="0"/>
        <v>19</v>
      </c>
      <c r="G34">
        <f t="shared" si="1"/>
        <v>370.96</v>
      </c>
      <c r="H34" t="s">
        <v>12</v>
      </c>
    </row>
    <row r="35" spans="1:8">
      <c r="A35" t="s">
        <v>46</v>
      </c>
      <c r="B35" t="s">
        <v>27</v>
      </c>
      <c r="C35">
        <v>1000</v>
      </c>
      <c r="D35" t="s">
        <v>16</v>
      </c>
      <c r="E35" t="s">
        <v>17</v>
      </c>
      <c r="F35">
        <f t="shared" si="0"/>
        <v>50</v>
      </c>
      <c r="G35">
        <f t="shared" si="1"/>
        <v>950</v>
      </c>
      <c r="H35" t="s">
        <v>12</v>
      </c>
    </row>
    <row r="36" spans="1:8">
      <c r="A36" t="s">
        <v>47</v>
      </c>
      <c r="B36" t="s">
        <v>27</v>
      </c>
      <c r="C36">
        <v>210</v>
      </c>
      <c r="D36" t="s">
        <v>16</v>
      </c>
      <c r="E36" t="s">
        <v>17</v>
      </c>
      <c r="F36">
        <f t="shared" si="0"/>
        <v>10</v>
      </c>
      <c r="G36">
        <f t="shared" si="1"/>
        <v>200</v>
      </c>
      <c r="H36" t="s">
        <v>12</v>
      </c>
    </row>
    <row r="38" spans="2:3">
      <c r="B38" t="s">
        <v>48</v>
      </c>
      <c r="C38">
        <f>SUM(C2:C36)</f>
        <v>59762.28</v>
      </c>
    </row>
    <row r="39" spans="2:3">
      <c r="B39" t="s">
        <v>49</v>
      </c>
      <c r="C39">
        <f>SUM(F2:F36)</f>
        <v>3043</v>
      </c>
    </row>
    <row r="40" spans="2:3">
      <c r="B40" t="s">
        <v>29</v>
      </c>
      <c r="C40">
        <v>3043</v>
      </c>
    </row>
    <row r="41" spans="2:3">
      <c r="B41" t="s">
        <v>50</v>
      </c>
      <c r="C41">
        <f>C39-C40</f>
        <v>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AWCC</cp:lastModifiedBy>
  <dcterms:created xsi:type="dcterms:W3CDTF">2026-02-28T10:41:00Z</dcterms:created>
  <dcterms:modified xsi:type="dcterms:W3CDTF">2026-02-28T10:42:57Z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4FC3A47D70DA40E7BF7B0BC932639E7F_12</vt:lpwstr>
  </property>
  <property fmtid="{D5CDD505-2E9C-101B-9397-08002B2CF9AE}" pid="3" name="KSOProductBuildVer">
    <vt:lpwstr>1033-12.2.0.23196</vt:lpwstr>
  </property>
</Properties>
</file>