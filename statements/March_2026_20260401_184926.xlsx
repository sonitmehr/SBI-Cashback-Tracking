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ransactionTable" displayName="TransactionTable" ref="A1:H17" headerRowCount="1">
  <autoFilter ref="A1:H17"/>
  <tableColumns count="8">
    <tableColumn id="1" name="Date"/>
    <tableColumn id="2" name="Merchant Name"/>
    <tableColumn id="3" name="Amount"/>
    <tableColumn id="4" name="Type"/>
    <tableColumn id="5" name="Mode"/>
    <tableColumn id="6" name="Cashback Expected"/>
    <tableColumn id="7" name="Net Payment"/>
    <tableColumn id="8" name="Done By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Merchant Name</t>
        </is>
      </c>
      <c r="C1" t="inlineStr">
        <is>
          <t>Amount</t>
        </is>
      </c>
      <c r="D1" t="inlineStr">
        <is>
          <t>Type</t>
        </is>
      </c>
      <c r="E1" t="inlineStr">
        <is>
          <t>Mode</t>
        </is>
      </c>
      <c r="F1" t="inlineStr">
        <is>
          <t>Cashback Expected</t>
        </is>
      </c>
      <c r="G1" t="inlineStr">
        <is>
          <t>Net Payment</t>
        </is>
      </c>
      <c r="H1" t="inlineStr">
        <is>
          <t>Done By</t>
        </is>
      </c>
    </row>
    <row r="2">
      <c r="A2" t="inlineStr">
        <is>
          <t>2026-02-22</t>
        </is>
      </c>
      <c r="B2" t="inlineStr">
        <is>
          <t>CARD CASHBACK CREDIT</t>
        </is>
      </c>
      <c r="C2" t="n">
        <v>-3043</v>
      </c>
      <c r="D2" t="inlineStr">
        <is>
          <t>Credit</t>
        </is>
      </c>
      <c r="E2" t="inlineStr">
        <is>
          <t>NO</t>
        </is>
      </c>
      <c r="F2">
        <f>IF(ABS(C2)&lt;100,0,FLOOR(ABS(C2)*IF(E2="ON",0.05,IF(E2="OFF",0.01,0)),1)*SIGN(C2))</f>
        <v/>
      </c>
      <c r="G2">
        <f>C2-F2</f>
        <v/>
      </c>
      <c r="H2" t="inlineStr">
        <is>
          <t>Sonit</t>
        </is>
      </c>
      <c r="J2" t="inlineStr">
        <is>
          <t>Payment Pending From</t>
        </is>
      </c>
    </row>
    <row r="3">
      <c r="A3" t="inlineStr">
        <is>
          <t>2026-02-22</t>
        </is>
      </c>
      <c r="B3" t="inlineStr">
        <is>
          <t>ZOMATO LIMITED Gurugram IN</t>
        </is>
      </c>
      <c r="C3" t="n">
        <v>173.25</v>
      </c>
      <c r="D3" t="inlineStr">
        <is>
          <t>Debit</t>
        </is>
      </c>
      <c r="E3" t="inlineStr">
        <is>
          <t>ON</t>
        </is>
      </c>
      <c r="F3">
        <f>IF(ABS(C3)&lt;100,0,FLOOR(ABS(C3)*IF(E3="ON",0.05,IF(E3="OFF",0.01,0)),1)*SIGN(C3))</f>
        <v/>
      </c>
      <c r="G3">
        <f>C3-F3</f>
        <v/>
      </c>
      <c r="H3" t="inlineStr">
        <is>
          <t>Sonit</t>
        </is>
      </c>
      <c r="J3" t="inlineStr">
        <is>
          <t>Friend</t>
        </is>
      </c>
      <c r="K3">
        <f>SUMIF(H2:H17,"Friend",G2:G17)</f>
        <v/>
      </c>
    </row>
    <row r="4">
      <c r="A4" t="inlineStr">
        <is>
          <t>2026-02-22</t>
        </is>
      </c>
      <c r="B4" t="inlineStr">
        <is>
          <t>ORBGEN TECHNOLOGIES GURGAON IN</t>
        </is>
      </c>
      <c r="C4" t="n">
        <v>490.64</v>
      </c>
      <c r="D4" t="inlineStr">
        <is>
          <t>Debit</t>
        </is>
      </c>
      <c r="E4" t="inlineStr">
        <is>
          <t>ON</t>
        </is>
      </c>
      <c r="F4">
        <f>IF(ABS(C4)&lt;100,0,FLOOR(ABS(C4)*IF(E4="ON",0.05,IF(E4="OFF",0.01,0)),1)*SIGN(C4))</f>
        <v/>
      </c>
      <c r="G4">
        <f>C4-F4</f>
        <v/>
      </c>
      <c r="H4" t="inlineStr">
        <is>
          <t>Sonit</t>
        </is>
      </c>
      <c r="J4" t="inlineStr">
        <is>
          <t>Mumma</t>
        </is>
      </c>
      <c r="K4">
        <f>SUMIF(H2:H17,"Mumma",G2:G17)</f>
        <v/>
      </c>
    </row>
    <row r="5">
      <c r="A5" t="inlineStr">
        <is>
          <t>2026-02-27</t>
        </is>
      </c>
      <c r="B5" t="inlineStr">
        <is>
          <t>AMAZON PAY INDIA PRIVA Bangalore IN</t>
        </is>
      </c>
      <c r="C5" t="n">
        <v>6754</v>
      </c>
      <c r="D5" t="inlineStr">
        <is>
          <t>Debit</t>
        </is>
      </c>
      <c r="E5" t="inlineStr">
        <is>
          <t>ON</t>
        </is>
      </c>
      <c r="F5">
        <f>IF(ABS(C5)&lt;100,0,FLOOR(ABS(C5)*IF(E5="ON",0.05,IF(E5="OFF",0.01,0)),1)*SIGN(C5))</f>
        <v/>
      </c>
      <c r="G5">
        <f>C5-F5</f>
        <v/>
      </c>
      <c r="H5" t="inlineStr">
        <is>
          <t>Friend</t>
        </is>
      </c>
      <c r="J5" t="inlineStr">
        <is>
          <t>Sonit</t>
        </is>
      </c>
      <c r="K5">
        <f>SUMIF(H2:H17,"Sonit",G2:G17)</f>
        <v/>
      </c>
    </row>
    <row r="6">
      <c r="A6" t="inlineStr">
        <is>
          <t>2026-02-28</t>
        </is>
      </c>
      <c r="B6" t="inlineStr">
        <is>
          <t>AMAZON PAY INDIA PRIVA WWW.AMAZON.IN IN</t>
        </is>
      </c>
      <c r="C6" t="n">
        <v>2304</v>
      </c>
      <c r="D6" t="inlineStr">
        <is>
          <t>Debit</t>
        </is>
      </c>
      <c r="E6" t="inlineStr">
        <is>
          <t>ON</t>
        </is>
      </c>
      <c r="F6">
        <f>IF(ABS(C6)&lt;100,0,FLOOR(ABS(C6)*IF(E6="ON",0.05,IF(E6="OFF",0.01,0)),1)*SIGN(C6))</f>
        <v/>
      </c>
      <c r="G6">
        <f>C6-F6</f>
        <v/>
      </c>
      <c r="H6" t="inlineStr">
        <is>
          <t>Sonit</t>
        </is>
      </c>
    </row>
    <row r="7">
      <c r="A7" t="inlineStr">
        <is>
          <t>2026-03-01</t>
        </is>
      </c>
      <c r="B7" t="inlineStr">
        <is>
          <t>AMAZON PAY INDIA PRIVA WWW.AMAZON.IN IN</t>
        </is>
      </c>
      <c r="C7" t="n">
        <v>2508.25</v>
      </c>
      <c r="D7" t="inlineStr">
        <is>
          <t>Debit</t>
        </is>
      </c>
      <c r="E7" t="inlineStr">
        <is>
          <t>ON</t>
        </is>
      </c>
      <c r="F7">
        <f>IF(ABS(C7)&lt;100,0,FLOOR(ABS(C7)*IF(E7="ON",0.05,IF(E7="OFF",0.01,0)),1)*SIGN(C7))</f>
        <v/>
      </c>
      <c r="G7">
        <f>C7-F7</f>
        <v/>
      </c>
      <c r="H7" t="inlineStr">
        <is>
          <t>Friend</t>
        </is>
      </c>
      <c r="J7" t="inlineStr">
        <is>
          <t>Total Pending Payments</t>
        </is>
      </c>
      <c r="K7">
        <f>SUM(K3:K5)</f>
        <v/>
      </c>
    </row>
    <row r="8">
      <c r="A8" t="inlineStr">
        <is>
          <t>2026-03-01</t>
        </is>
      </c>
      <c r="B8" t="inlineStr">
        <is>
          <t>VODAFONEIDEA LIMITED GURGAON IN</t>
        </is>
      </c>
      <c r="C8" t="n">
        <v>414.18</v>
      </c>
      <c r="D8" t="inlineStr">
        <is>
          <t>Debit</t>
        </is>
      </c>
      <c r="E8" t="inlineStr">
        <is>
          <t>NO</t>
        </is>
      </c>
      <c r="F8">
        <f>IF(ABS(C8)&lt;100,0,FLOOR(ABS(C8)*IF(E8="ON",0.05,IF(E8="OFF",0.01,0)),1)*SIGN(C8))</f>
        <v/>
      </c>
      <c r="G8">
        <f>C8-F8</f>
        <v/>
      </c>
      <c r="H8" t="inlineStr">
        <is>
          <t>Mumma</t>
        </is>
      </c>
      <c r="J8" t="inlineStr">
        <is>
          <t>Cashback Received</t>
        </is>
      </c>
      <c r="K8">
        <f>C21</f>
        <v/>
      </c>
    </row>
    <row r="9">
      <c r="A9" t="inlineStr">
        <is>
          <t>2026-03-02</t>
        </is>
      </c>
      <c r="B9" t="inlineStr">
        <is>
          <t>JUBILANT FOODWORKS LIM NOIDA IN</t>
        </is>
      </c>
      <c r="C9" t="n">
        <v>246</v>
      </c>
      <c r="D9" t="inlineStr">
        <is>
          <t>Debit</t>
        </is>
      </c>
      <c r="E9" t="inlineStr">
        <is>
          <t>ON</t>
        </is>
      </c>
      <c r="F9">
        <f>IF(ABS(C9)&lt;100,0,FLOOR(ABS(C9)*IF(E9="ON",0.05,IF(E9="OFF",0.01,0)),1)*SIGN(C9))</f>
        <v/>
      </c>
      <c r="G9">
        <f>C9-F9</f>
        <v/>
      </c>
      <c r="H9" t="inlineStr">
        <is>
          <t>Sonit</t>
        </is>
      </c>
      <c r="J9" t="inlineStr">
        <is>
          <t>Reconciliation Status</t>
        </is>
      </c>
      <c r="K9">
        <f>IF(C19=(K7+K8),"Everything adds up","Something is not adding up")</f>
        <v/>
      </c>
    </row>
    <row r="10">
      <c r="A10" t="inlineStr">
        <is>
          <t>2026-03-05</t>
        </is>
      </c>
      <c r="B10" t="inlineStr">
        <is>
          <t>RAZ*GULLAK TECHNOLOGIE Bengaluru KA IN</t>
        </is>
      </c>
      <c r="C10" t="n">
        <v>212.5</v>
      </c>
      <c r="D10" t="inlineStr">
        <is>
          <t>Debit</t>
        </is>
      </c>
      <c r="E10" t="inlineStr">
        <is>
          <t>ON</t>
        </is>
      </c>
      <c r="F10">
        <f>IF(ABS(C10)&lt;100,0,FLOOR(ABS(C10)*IF(E10="ON",0.05,IF(E10="OFF",0.01,0)),1)*SIGN(C10))</f>
        <v/>
      </c>
      <c r="G10">
        <f>C10-F10</f>
        <v/>
      </c>
      <c r="H10" t="inlineStr">
        <is>
          <t>Sonit</t>
        </is>
      </c>
    </row>
    <row r="11">
      <c r="A11" t="inlineStr">
        <is>
          <t>2026-03-07</t>
        </is>
      </c>
      <c r="B11" t="inlineStr">
        <is>
          <t>Samsung India Electron Gurgaon IN</t>
        </is>
      </c>
      <c r="C11" t="n">
        <v>64050.7</v>
      </c>
      <c r="D11" t="inlineStr">
        <is>
          <t>Debit</t>
        </is>
      </c>
      <c r="E11" t="inlineStr">
        <is>
          <t>ON</t>
        </is>
      </c>
      <c r="F11">
        <f>IF(ABS(C11)&lt;100,0,FLOOR(ABS(C11)*IF(E11="ON",0.05,IF(E11="OFF",0.01,0)),1)*SIGN(C11))</f>
        <v/>
      </c>
      <c r="G11">
        <f>C11-F11</f>
        <v/>
      </c>
      <c r="H11" t="inlineStr">
        <is>
          <t>Friend</t>
        </is>
      </c>
    </row>
    <row r="12">
      <c r="A12" t="inlineStr">
        <is>
          <t>2026-03-08</t>
        </is>
      </c>
      <c r="B12" t="inlineStr">
        <is>
          <t>MEESHO TECHNOLOGIES PR BANGALORE IN</t>
        </is>
      </c>
      <c r="C12" t="n">
        <v>326</v>
      </c>
      <c r="D12" t="inlineStr">
        <is>
          <t>Debit</t>
        </is>
      </c>
      <c r="E12" t="inlineStr">
        <is>
          <t>ON</t>
        </is>
      </c>
      <c r="F12">
        <f>IF(ABS(C12)&lt;100,0,FLOOR(ABS(C12)*IF(E12="ON",0.05,IF(E12="OFF",0.01,0)),1)*SIGN(C12))</f>
        <v/>
      </c>
      <c r="G12">
        <f>C12-F12</f>
        <v/>
      </c>
      <c r="H12" t="inlineStr">
        <is>
          <t>Mumma</t>
        </is>
      </c>
    </row>
    <row r="13">
      <c r="A13" t="inlineStr">
        <is>
          <t>2026-03-08</t>
        </is>
      </c>
      <c r="B13" t="inlineStr">
        <is>
          <t>MEESHO TECHNOLOGIES PR BANGALORE IN</t>
        </is>
      </c>
      <c r="C13" t="n">
        <v>233</v>
      </c>
      <c r="D13" t="inlineStr">
        <is>
          <t>Debit</t>
        </is>
      </c>
      <c r="E13" t="inlineStr">
        <is>
          <t>ON</t>
        </is>
      </c>
      <c r="F13">
        <f>IF(ABS(C13)&lt;100,0,FLOOR(ABS(C13)*IF(E13="ON",0.05,IF(E13="OFF",0.01,0)),1)*SIGN(C13))</f>
        <v/>
      </c>
      <c r="G13">
        <f>C13-F13</f>
        <v/>
      </c>
      <c r="H13" t="inlineStr">
        <is>
          <t>Mumma</t>
        </is>
      </c>
    </row>
    <row r="14">
      <c r="A14" t="inlineStr">
        <is>
          <t>2026-03-08</t>
        </is>
      </c>
      <c r="B14" t="inlineStr">
        <is>
          <t>AMAZONIN GURGAON IN</t>
        </is>
      </c>
      <c r="C14" t="n">
        <v>534</v>
      </c>
      <c r="D14" t="inlineStr">
        <is>
          <t>Debit</t>
        </is>
      </c>
      <c r="E14" t="inlineStr">
        <is>
          <t>ON</t>
        </is>
      </c>
      <c r="F14">
        <f>IF(ABS(C14)&lt;100,0,FLOOR(ABS(C14)*IF(E14="ON",0.05,IF(E14="OFF",0.01,0)),1)*SIGN(C14))</f>
        <v/>
      </c>
      <c r="G14">
        <f>C14-F14</f>
        <v/>
      </c>
      <c r="H14" t="inlineStr">
        <is>
          <t>Mumma</t>
        </is>
      </c>
    </row>
    <row r="15">
      <c r="A15" t="inlineStr">
        <is>
          <t>2026-03-10</t>
        </is>
      </c>
      <c r="B15" t="inlineStr">
        <is>
          <t>AMAZON PAY INDIA PRIVA WWW.AMAZON.IN IN</t>
        </is>
      </c>
      <c r="C15" t="n">
        <v>-2299</v>
      </c>
      <c r="D15" t="inlineStr">
        <is>
          <t>Credit</t>
        </is>
      </c>
      <c r="E15" t="inlineStr">
        <is>
          <t>ON</t>
        </is>
      </c>
      <c r="F15">
        <f>IF(ABS(C15)&lt;100,0,FLOOR(ABS(C15)*IF(E15="ON",0.05,IF(E15="OFF",0.01,0)),1)*SIGN(C15))</f>
        <v/>
      </c>
      <c r="G15">
        <f>C15-F15</f>
        <v/>
      </c>
      <c r="H15" t="inlineStr">
        <is>
          <t>Sonit</t>
        </is>
      </c>
    </row>
    <row r="16">
      <c r="A16" t="inlineStr">
        <is>
          <t>2026-03-14</t>
        </is>
      </c>
      <c r="B16" t="inlineStr">
        <is>
          <t>ZOMATO NEW DELHI IN</t>
        </is>
      </c>
      <c r="C16" t="n">
        <v>235.98</v>
      </c>
      <c r="D16" t="inlineStr">
        <is>
          <t>Debit</t>
        </is>
      </c>
      <c r="E16" t="inlineStr">
        <is>
          <t>ON</t>
        </is>
      </c>
      <c r="F16">
        <f>IF(ABS(C16)&lt;100,0,FLOOR(ABS(C16)*IF(E16="ON",0.05,IF(E16="OFF",0.01,0)),1)*SIGN(C16))</f>
        <v/>
      </c>
      <c r="G16">
        <f>C16-F16</f>
        <v/>
      </c>
      <c r="H16" t="inlineStr">
        <is>
          <t>Sonit</t>
        </is>
      </c>
    </row>
    <row r="17">
      <c r="A17" t="inlineStr">
        <is>
          <t>2026-03-18</t>
        </is>
      </c>
      <c r="B17" t="inlineStr">
        <is>
          <t>ZOMATO LIMITED Gurugram IN</t>
        </is>
      </c>
      <c r="C17" t="n">
        <v>337.56</v>
      </c>
      <c r="D17" t="inlineStr">
        <is>
          <t>Debit</t>
        </is>
      </c>
      <c r="E17" t="inlineStr">
        <is>
          <t>ON</t>
        </is>
      </c>
      <c r="F17">
        <f>IF(ABS(C17)&lt;100,0,FLOOR(ABS(C17)*IF(E17="ON",0.05,IF(E17="OFF",0.01,0)),1)*SIGN(C17))</f>
        <v/>
      </c>
      <c r="G17">
        <f>C17-F17</f>
        <v/>
      </c>
      <c r="H17" t="inlineStr">
        <is>
          <t>Sonit</t>
        </is>
      </c>
    </row>
    <row r="19">
      <c r="B19" t="inlineStr">
        <is>
          <t>Total Transaction Amount</t>
        </is>
      </c>
      <c r="C19">
        <f>SUM(C2:C17)</f>
        <v/>
      </c>
    </row>
    <row r="20">
      <c r="B20" t="inlineStr">
        <is>
          <t>Total Cashback Expected</t>
        </is>
      </c>
      <c r="C20">
        <f>SUM(F2:F17)</f>
        <v/>
      </c>
    </row>
    <row r="21">
      <c r="B21" t="inlineStr">
        <is>
          <t>Cashback Received</t>
        </is>
      </c>
      <c r="C21" t="n">
        <v>3799</v>
      </c>
    </row>
    <row r="22">
      <c r="B22" t="inlineStr">
        <is>
          <t>Cashback Difference</t>
        </is>
      </c>
      <c r="C22">
        <f>C20-C21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2026-04-01T13:19:26Z</dcterms:created>
  <dcterms:modified xmlns:dcterms="http://purl.org/dc/terms/" xmlns:xsi="http://www.w3.org/2001/XMLSchema-instance" xsi:type="dcterms:W3CDTF">2026-04-01T13:19:26Z</dcterms:modified>
</cp:coreProperties>
</file>