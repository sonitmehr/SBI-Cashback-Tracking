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ell-my.sharepoint.com/personal/sonit_mehrotra_dell_com/Documents/Desktop/Personal/Sbi-excel-writing-script/statements/"/>
    </mc:Choice>
  </mc:AlternateContent>
  <xr:revisionPtr revIDLastSave="2" documentId="11_07EB3223CB4A16F7C26C317F8572B11F0BF92160" xr6:coauthVersionLast="47" xr6:coauthVersionMax="47" xr10:uidLastSave="{95FF4058-C904-4151-A5DA-C71EC1AE4DCE}"/>
  <bookViews>
    <workbookView xWindow="-96" yWindow="-96" windowWidth="23232" windowHeight="13872" xr2:uid="{00000000-000D-0000-FFFF-FFFF00000000}"/>
  </bookViews>
  <sheets>
    <sheet name="Transa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G27" i="1"/>
  <c r="F27" i="1"/>
  <c r="F26" i="1"/>
  <c r="G26" i="1" s="1"/>
  <c r="F25" i="1"/>
  <c r="G25" i="1" s="1"/>
  <c r="F24" i="1"/>
  <c r="G24" i="1" s="1"/>
  <c r="F23" i="1"/>
  <c r="G23" i="1" s="1"/>
  <c r="G22" i="1"/>
  <c r="F22" i="1"/>
  <c r="F21" i="1"/>
  <c r="G21" i="1" s="1"/>
  <c r="F20" i="1"/>
  <c r="G20" i="1" s="1"/>
  <c r="F19" i="1"/>
  <c r="G19" i="1" s="1"/>
  <c r="G18" i="1"/>
  <c r="F18" i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K5" i="1" s="1"/>
  <c r="F11" i="1"/>
  <c r="G11" i="1" s="1"/>
  <c r="K10" i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2" i="1"/>
  <c r="C30" i="1" s="1"/>
  <c r="C32" i="1" s="1"/>
  <c r="K7" i="1" l="1"/>
  <c r="K4" i="1"/>
  <c r="K6" i="1"/>
  <c r="G2" i="1"/>
  <c r="K3" i="1" s="1"/>
  <c r="K9" i="1" s="1"/>
  <c r="K11" i="1" s="1"/>
</calcChain>
</file>

<file path=xl/sharedStrings.xml><?xml version="1.0" encoding="utf-8"?>
<sst xmlns="http://schemas.openxmlformats.org/spreadsheetml/2006/main" count="151" uniqueCount="52">
  <si>
    <t>Date</t>
  </si>
  <si>
    <t>Merchant Name</t>
  </si>
  <si>
    <t>Amount</t>
  </si>
  <si>
    <t>Type</t>
  </si>
  <si>
    <t>Mode</t>
  </si>
  <si>
    <t>Cashback Expected</t>
  </si>
  <si>
    <t>Net Payment</t>
  </si>
  <si>
    <t>Done By</t>
  </si>
  <si>
    <t>2026-01-01</t>
  </si>
  <si>
    <t>AMAZON PAY INDIA PRIVA WWW.AMAZON.IN IN</t>
  </si>
  <si>
    <t>Debit</t>
  </si>
  <si>
    <t>ON</t>
  </si>
  <si>
    <t>Friend</t>
  </si>
  <si>
    <t>Payment Pending From</t>
  </si>
  <si>
    <t>Sonit</t>
  </si>
  <si>
    <t>RAZ*GULLAK TECHNOLOGIE Bengaluru KA IN</t>
  </si>
  <si>
    <t>Mumma</t>
  </si>
  <si>
    <t>Papa</t>
  </si>
  <si>
    <t>AMAZON PAY INDIA PRIVA Bangalore IN</t>
  </si>
  <si>
    <t>Shreya</t>
  </si>
  <si>
    <t>2026-01-03</t>
  </si>
  <si>
    <t>MEESHO TECHNOLOGIES PR BANGALORE IN</t>
  </si>
  <si>
    <t>SHOPPERS STOP LTD BANGALORE IN</t>
  </si>
  <si>
    <t>OFF</t>
  </si>
  <si>
    <t>Total Pending Payments</t>
  </si>
  <si>
    <t>DECATHLON BANNERGHATTA BANGALORE IN</t>
  </si>
  <si>
    <t>Cashback Received</t>
  </si>
  <si>
    <t>WAKEFIT BANGALORE IN</t>
  </si>
  <si>
    <t>Reconciliation Status</t>
  </si>
  <si>
    <t>SRI VARSHATH Bangalore IN</t>
  </si>
  <si>
    <t>NO</t>
  </si>
  <si>
    <t>2026-01-04</t>
  </si>
  <si>
    <t>Avenue Supermarts Ltd BANGALORE IN</t>
  </si>
  <si>
    <t>MEESHO TECHNOLOGIES PR Bangalore IN</t>
  </si>
  <si>
    <t>2026-01-05</t>
  </si>
  <si>
    <t>Flipkart Internet Priv Bangalore IN</t>
  </si>
  <si>
    <t>Flipkart Bengaluru IN</t>
  </si>
  <si>
    <t>2026-01-15</t>
  </si>
  <si>
    <t>AMAZONIN GURGAON IN</t>
  </si>
  <si>
    <t>2026-01-17</t>
  </si>
  <si>
    <t>MEESHO BANGALORE IN</t>
  </si>
  <si>
    <t>2026-01-18</t>
  </si>
  <si>
    <t>Fashnear Technologies BENGALURU IN</t>
  </si>
  <si>
    <t>2026-01-19</t>
  </si>
  <si>
    <t>2026-01-20</t>
  </si>
  <si>
    <t>2026-01-21</t>
  </si>
  <si>
    <t>2026-01-22</t>
  </si>
  <si>
    <t>ANNUAL FEE CHARGED</t>
  </si>
  <si>
    <t>IGST ON Card charge</t>
  </si>
  <si>
    <t>Total Transaction Amount</t>
  </si>
  <si>
    <t>Total Cashback Expected</t>
  </si>
  <si>
    <t>Cashback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</si>
</sst>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Table" displayName="TransactionTable" ref="A1:H27">
  <autoFilter ref="A1:H27" xr:uid="{00000000-0009-0000-0100-000001000000}"/>
  <tableColumns count="8">
    <tableColumn id="1" xr3:uid="{00000000-0010-0000-0000-000001000000}" name="Date"/>
    <tableColumn id="2" xr3:uid="{00000000-0010-0000-0000-000002000000}" name="Merchant Name"/>
    <tableColumn id="3" xr3:uid="{00000000-0010-0000-0000-000003000000}" name="Amount"/>
    <tableColumn id="4" xr3:uid="{00000000-0010-0000-0000-000004000000}" name="Type"/>
    <tableColumn id="5" xr3:uid="{00000000-0010-0000-0000-000005000000}" name="Mode"/>
    <tableColumn id="6" xr3:uid="{00000000-0010-0000-0000-000006000000}" name="Cashback Expected"/>
    <tableColumn id="7" xr3:uid="{00000000-0010-0000-0000-000007000000}" name="Net Payment"/>
    <tableColumn id="8" xr3:uid="{00000000-0010-0000-0000-000008000000}" name="Done B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B7" sqref="B7"/>
    </sheetView>
  </sheetViews>
  <sheetFormatPr defaultRowHeight="14.4" x14ac:dyDescent="0.55000000000000004"/>
  <cols>
    <col min="2" max="2" width="53.20703125" customWidth="1"/>
  </cols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55000000000000004">
      <c r="A2" t="s">
        <v>8</v>
      </c>
      <c r="B2" t="s">
        <v>9</v>
      </c>
      <c r="C2">
        <v>753</v>
      </c>
      <c r="D2" t="s">
        <v>10</v>
      </c>
      <c r="E2" t="s">
        <v>11</v>
      </c>
      <c r="F2">
        <f t="shared" ref="F2:F27" si="0">IF(C2&lt;100,0,FLOOR(C2*IF(E2="ON",0.05,IF(E2="OFF",0.01,0)),1))</f>
        <v>37</v>
      </c>
      <c r="G2">
        <f t="shared" ref="G2:G27" si="1">C2-F2</f>
        <v>716</v>
      </c>
      <c r="H2" t="s">
        <v>12</v>
      </c>
      <c r="J2" t="s">
        <v>13</v>
      </c>
    </row>
    <row r="3" spans="1:11" x14ac:dyDescent="0.55000000000000004">
      <c r="A3" t="s">
        <v>8</v>
      </c>
      <c r="B3" t="s">
        <v>9</v>
      </c>
      <c r="C3">
        <v>4895</v>
      </c>
      <c r="D3" t="s">
        <v>10</v>
      </c>
      <c r="E3" t="s">
        <v>11</v>
      </c>
      <c r="F3">
        <f t="shared" si="0"/>
        <v>244</v>
      </c>
      <c r="G3">
        <f t="shared" si="1"/>
        <v>4651</v>
      </c>
      <c r="H3" t="s">
        <v>14</v>
      </c>
      <c r="J3" t="s">
        <v>12</v>
      </c>
      <c r="K3">
        <f>SUMIF(H2:H27,"Friend",G2:G27)</f>
        <v>9840</v>
      </c>
    </row>
    <row r="4" spans="1:11" x14ac:dyDescent="0.55000000000000004">
      <c r="A4" t="s">
        <v>8</v>
      </c>
      <c r="B4" t="s">
        <v>15</v>
      </c>
      <c r="C4">
        <v>100</v>
      </c>
      <c r="D4" t="s">
        <v>10</v>
      </c>
      <c r="E4" t="s">
        <v>11</v>
      </c>
      <c r="F4">
        <f t="shared" si="0"/>
        <v>5</v>
      </c>
      <c r="G4">
        <f t="shared" si="1"/>
        <v>95</v>
      </c>
      <c r="H4" t="s">
        <v>14</v>
      </c>
      <c r="J4" t="s">
        <v>16</v>
      </c>
      <c r="K4">
        <f>SUMIF(H2:H27,"Mumma",G2:G27)</f>
        <v>3617</v>
      </c>
    </row>
    <row r="5" spans="1:11" x14ac:dyDescent="0.55000000000000004">
      <c r="A5" t="s">
        <v>8</v>
      </c>
      <c r="B5" t="s">
        <v>15</v>
      </c>
      <c r="C5">
        <v>200</v>
      </c>
      <c r="D5" t="s">
        <v>10</v>
      </c>
      <c r="E5" t="s">
        <v>11</v>
      </c>
      <c r="F5">
        <f t="shared" si="0"/>
        <v>10</v>
      </c>
      <c r="G5">
        <f t="shared" si="1"/>
        <v>190</v>
      </c>
      <c r="H5" t="s">
        <v>14</v>
      </c>
      <c r="J5" t="s">
        <v>17</v>
      </c>
      <c r="K5">
        <f>SUMIF(H2:H27,"Papa",G2:G27)</f>
        <v>211.8</v>
      </c>
    </row>
    <row r="6" spans="1:11" x14ac:dyDescent="0.55000000000000004">
      <c r="A6" t="s">
        <v>8</v>
      </c>
      <c r="B6" t="s">
        <v>18</v>
      </c>
      <c r="C6">
        <v>2604</v>
      </c>
      <c r="D6" t="s">
        <v>10</v>
      </c>
      <c r="E6" t="s">
        <v>11</v>
      </c>
      <c r="F6">
        <f t="shared" si="0"/>
        <v>130</v>
      </c>
      <c r="G6">
        <f t="shared" si="1"/>
        <v>2474</v>
      </c>
      <c r="H6" t="s">
        <v>12</v>
      </c>
      <c r="J6" t="s">
        <v>19</v>
      </c>
      <c r="K6">
        <f>SUMIF(H2:H27,"Shreya",G2:G27)</f>
        <v>2749.2</v>
      </c>
    </row>
    <row r="7" spans="1:11" x14ac:dyDescent="0.55000000000000004">
      <c r="A7" t="s">
        <v>20</v>
      </c>
      <c r="B7" t="s">
        <v>9</v>
      </c>
      <c r="C7">
        <v>100</v>
      </c>
      <c r="D7" t="s">
        <v>10</v>
      </c>
      <c r="E7" t="s">
        <v>11</v>
      </c>
      <c r="F7">
        <f t="shared" si="0"/>
        <v>5</v>
      </c>
      <c r="G7">
        <f t="shared" si="1"/>
        <v>95</v>
      </c>
      <c r="H7" t="s">
        <v>14</v>
      </c>
      <c r="J7" t="s">
        <v>14</v>
      </c>
      <c r="K7">
        <f>SUMIF(H2:H27,"Sonit",G2:G27)</f>
        <v>7525.07</v>
      </c>
    </row>
    <row r="8" spans="1:11" x14ac:dyDescent="0.55000000000000004">
      <c r="A8" t="s">
        <v>20</v>
      </c>
      <c r="B8" t="s">
        <v>21</v>
      </c>
      <c r="C8">
        <v>615</v>
      </c>
      <c r="D8" t="s">
        <v>10</v>
      </c>
      <c r="E8" t="s">
        <v>11</v>
      </c>
      <c r="F8">
        <f t="shared" si="0"/>
        <v>30</v>
      </c>
      <c r="G8">
        <f t="shared" si="1"/>
        <v>585</v>
      </c>
      <c r="H8" t="s">
        <v>16</v>
      </c>
    </row>
    <row r="9" spans="1:11" x14ac:dyDescent="0.55000000000000004">
      <c r="A9" t="s">
        <v>20</v>
      </c>
      <c r="B9" t="s">
        <v>22</v>
      </c>
      <c r="C9">
        <v>65.2</v>
      </c>
      <c r="D9" t="s">
        <v>10</v>
      </c>
      <c r="E9" t="s">
        <v>23</v>
      </c>
      <c r="F9">
        <f t="shared" si="0"/>
        <v>0</v>
      </c>
      <c r="G9">
        <f t="shared" si="1"/>
        <v>65.2</v>
      </c>
      <c r="H9" t="s">
        <v>19</v>
      </c>
      <c r="J9" t="s">
        <v>24</v>
      </c>
      <c r="K9">
        <f>SUM(K3:K7)</f>
        <v>23943.07</v>
      </c>
    </row>
    <row r="10" spans="1:11" x14ac:dyDescent="0.55000000000000004">
      <c r="A10" t="s">
        <v>20</v>
      </c>
      <c r="B10" t="s">
        <v>25</v>
      </c>
      <c r="C10">
        <v>2499</v>
      </c>
      <c r="D10" t="s">
        <v>10</v>
      </c>
      <c r="E10" t="s">
        <v>23</v>
      </c>
      <c r="F10">
        <f t="shared" si="0"/>
        <v>24</v>
      </c>
      <c r="G10">
        <f t="shared" si="1"/>
        <v>2475</v>
      </c>
      <c r="H10" t="s">
        <v>19</v>
      </c>
      <c r="J10" t="s">
        <v>26</v>
      </c>
      <c r="K10">
        <f>C31</f>
        <v>1009</v>
      </c>
    </row>
    <row r="11" spans="1:11" x14ac:dyDescent="0.55000000000000004">
      <c r="A11" t="s">
        <v>20</v>
      </c>
      <c r="B11" t="s">
        <v>27</v>
      </c>
      <c r="C11">
        <v>6199</v>
      </c>
      <c r="D11" t="s">
        <v>10</v>
      </c>
      <c r="E11" t="s">
        <v>11</v>
      </c>
      <c r="F11">
        <f t="shared" si="0"/>
        <v>309</v>
      </c>
      <c r="G11">
        <f t="shared" si="1"/>
        <v>5890</v>
      </c>
      <c r="H11" t="s">
        <v>12</v>
      </c>
      <c r="J11" t="s">
        <v>28</v>
      </c>
      <c r="K11" t="str">
        <f>IF(C29=(K9+K10),"Everything adds up","Something is not adding up")</f>
        <v>Everything adds up</v>
      </c>
    </row>
    <row r="12" spans="1:11" x14ac:dyDescent="0.55000000000000004">
      <c r="A12" t="s">
        <v>20</v>
      </c>
      <c r="B12" t="s">
        <v>29</v>
      </c>
      <c r="C12">
        <v>211.8</v>
      </c>
      <c r="D12" t="s">
        <v>10</v>
      </c>
      <c r="E12" t="s">
        <v>30</v>
      </c>
      <c r="F12">
        <f t="shared" si="0"/>
        <v>0</v>
      </c>
      <c r="G12">
        <f t="shared" si="1"/>
        <v>211.8</v>
      </c>
      <c r="H12" t="s">
        <v>17</v>
      </c>
    </row>
    <row r="13" spans="1:11" x14ac:dyDescent="0.55000000000000004">
      <c r="A13" t="s">
        <v>31</v>
      </c>
      <c r="B13" t="s">
        <v>32</v>
      </c>
      <c r="C13">
        <v>1276</v>
      </c>
      <c r="D13" t="s">
        <v>10</v>
      </c>
      <c r="E13" t="s">
        <v>23</v>
      </c>
      <c r="F13">
        <f t="shared" si="0"/>
        <v>12</v>
      </c>
      <c r="G13">
        <f t="shared" si="1"/>
        <v>1264</v>
      </c>
      <c r="H13" t="s">
        <v>16</v>
      </c>
    </row>
    <row r="14" spans="1:11" x14ac:dyDescent="0.55000000000000004">
      <c r="A14" t="s">
        <v>31</v>
      </c>
      <c r="B14" t="s">
        <v>33</v>
      </c>
      <c r="C14">
        <v>709</v>
      </c>
      <c r="D14" t="s">
        <v>10</v>
      </c>
      <c r="E14" t="s">
        <v>11</v>
      </c>
      <c r="F14">
        <f t="shared" si="0"/>
        <v>35</v>
      </c>
      <c r="G14">
        <f t="shared" si="1"/>
        <v>674</v>
      </c>
      <c r="H14" t="s">
        <v>16</v>
      </c>
    </row>
    <row r="15" spans="1:11" x14ac:dyDescent="0.55000000000000004">
      <c r="A15" t="s">
        <v>34</v>
      </c>
      <c r="B15" t="s">
        <v>35</v>
      </c>
      <c r="C15">
        <v>800</v>
      </c>
      <c r="D15" t="s">
        <v>10</v>
      </c>
      <c r="E15" t="s">
        <v>11</v>
      </c>
      <c r="F15">
        <f t="shared" si="0"/>
        <v>40</v>
      </c>
      <c r="G15">
        <f t="shared" si="1"/>
        <v>760</v>
      </c>
      <c r="H15" t="s">
        <v>12</v>
      </c>
    </row>
    <row r="16" spans="1:11" x14ac:dyDescent="0.55000000000000004">
      <c r="A16" t="s">
        <v>34</v>
      </c>
      <c r="B16" t="s">
        <v>36</v>
      </c>
      <c r="C16">
        <v>219</v>
      </c>
      <c r="D16" t="s">
        <v>10</v>
      </c>
      <c r="E16" t="s">
        <v>11</v>
      </c>
      <c r="F16">
        <f t="shared" si="0"/>
        <v>10</v>
      </c>
      <c r="G16">
        <f t="shared" si="1"/>
        <v>209</v>
      </c>
      <c r="H16" t="s">
        <v>19</v>
      </c>
    </row>
    <row r="17" spans="1:8" x14ac:dyDescent="0.55000000000000004">
      <c r="A17" t="s">
        <v>37</v>
      </c>
      <c r="B17" t="s">
        <v>38</v>
      </c>
      <c r="C17">
        <v>174</v>
      </c>
      <c r="D17" t="s">
        <v>10</v>
      </c>
      <c r="E17" t="s">
        <v>11</v>
      </c>
      <c r="F17">
        <f t="shared" si="0"/>
        <v>8</v>
      </c>
      <c r="G17">
        <f t="shared" si="1"/>
        <v>166</v>
      </c>
      <c r="H17" t="s">
        <v>14</v>
      </c>
    </row>
    <row r="18" spans="1:8" x14ac:dyDescent="0.55000000000000004">
      <c r="A18" t="s">
        <v>37</v>
      </c>
      <c r="B18" t="s">
        <v>38</v>
      </c>
      <c r="C18">
        <v>99</v>
      </c>
      <c r="D18" t="s">
        <v>10</v>
      </c>
      <c r="E18" t="s">
        <v>11</v>
      </c>
      <c r="F18">
        <f t="shared" si="0"/>
        <v>0</v>
      </c>
      <c r="G18">
        <f t="shared" si="1"/>
        <v>99</v>
      </c>
      <c r="H18" t="s">
        <v>16</v>
      </c>
    </row>
    <row r="19" spans="1:8" x14ac:dyDescent="0.55000000000000004">
      <c r="A19" t="s">
        <v>39</v>
      </c>
      <c r="B19" t="s">
        <v>9</v>
      </c>
      <c r="C19">
        <v>391.19</v>
      </c>
      <c r="D19" t="s">
        <v>10</v>
      </c>
      <c r="E19" t="s">
        <v>11</v>
      </c>
      <c r="F19">
        <f t="shared" si="0"/>
        <v>19</v>
      </c>
      <c r="G19">
        <f t="shared" si="1"/>
        <v>372.19</v>
      </c>
      <c r="H19" t="s">
        <v>14</v>
      </c>
    </row>
    <row r="20" spans="1:8" x14ac:dyDescent="0.55000000000000004">
      <c r="A20" t="s">
        <v>39</v>
      </c>
      <c r="B20" t="s">
        <v>40</v>
      </c>
      <c r="C20">
        <v>160</v>
      </c>
      <c r="D20" t="s">
        <v>10</v>
      </c>
      <c r="E20" t="s">
        <v>11</v>
      </c>
      <c r="F20">
        <f t="shared" si="0"/>
        <v>8</v>
      </c>
      <c r="G20">
        <f t="shared" si="1"/>
        <v>152</v>
      </c>
      <c r="H20" t="s">
        <v>16</v>
      </c>
    </row>
    <row r="21" spans="1:8" x14ac:dyDescent="0.55000000000000004">
      <c r="A21" t="s">
        <v>41</v>
      </c>
      <c r="B21" t="s">
        <v>42</v>
      </c>
      <c r="C21">
        <v>267</v>
      </c>
      <c r="D21" t="s">
        <v>10</v>
      </c>
      <c r="E21" t="s">
        <v>11</v>
      </c>
      <c r="F21">
        <f t="shared" si="0"/>
        <v>13</v>
      </c>
      <c r="G21">
        <f t="shared" si="1"/>
        <v>254</v>
      </c>
      <c r="H21" t="s">
        <v>16</v>
      </c>
    </row>
    <row r="22" spans="1:8" x14ac:dyDescent="0.55000000000000004">
      <c r="A22" t="s">
        <v>43</v>
      </c>
      <c r="B22" t="s">
        <v>9</v>
      </c>
      <c r="C22">
        <v>345.06</v>
      </c>
      <c r="D22" t="s">
        <v>10</v>
      </c>
      <c r="E22" t="s">
        <v>11</v>
      </c>
      <c r="F22">
        <f t="shared" si="0"/>
        <v>17</v>
      </c>
      <c r="G22">
        <f t="shared" si="1"/>
        <v>328.06</v>
      </c>
      <c r="H22" t="s">
        <v>14</v>
      </c>
    </row>
    <row r="23" spans="1:8" x14ac:dyDescent="0.55000000000000004">
      <c r="A23" t="s">
        <v>44</v>
      </c>
      <c r="B23" t="s">
        <v>38</v>
      </c>
      <c r="C23">
        <v>472</v>
      </c>
      <c r="D23" t="s">
        <v>10</v>
      </c>
      <c r="E23" t="s">
        <v>11</v>
      </c>
      <c r="F23">
        <f t="shared" si="0"/>
        <v>23</v>
      </c>
      <c r="G23">
        <f t="shared" si="1"/>
        <v>449</v>
      </c>
      <c r="H23" t="s">
        <v>14</v>
      </c>
    </row>
    <row r="24" spans="1:8" x14ac:dyDescent="0.55000000000000004">
      <c r="A24" t="s">
        <v>45</v>
      </c>
      <c r="B24" t="s">
        <v>38</v>
      </c>
      <c r="C24">
        <v>415</v>
      </c>
      <c r="D24" t="s">
        <v>10</v>
      </c>
      <c r="E24" t="s">
        <v>11</v>
      </c>
      <c r="F24">
        <f t="shared" si="0"/>
        <v>20</v>
      </c>
      <c r="G24">
        <f t="shared" si="1"/>
        <v>395</v>
      </c>
      <c r="H24" t="s">
        <v>16</v>
      </c>
    </row>
    <row r="25" spans="1:8" x14ac:dyDescent="0.55000000000000004">
      <c r="A25" t="s">
        <v>45</v>
      </c>
      <c r="B25" t="s">
        <v>38</v>
      </c>
      <c r="C25">
        <v>204</v>
      </c>
      <c r="D25" t="s">
        <v>10</v>
      </c>
      <c r="E25" t="s">
        <v>11</v>
      </c>
      <c r="F25">
        <f t="shared" si="0"/>
        <v>10</v>
      </c>
      <c r="G25">
        <f t="shared" si="1"/>
        <v>194</v>
      </c>
      <c r="H25" t="s">
        <v>16</v>
      </c>
    </row>
    <row r="26" spans="1:8" x14ac:dyDescent="0.55000000000000004">
      <c r="A26" t="s">
        <v>46</v>
      </c>
      <c r="B26" t="s">
        <v>47</v>
      </c>
      <c r="C26">
        <v>999</v>
      </c>
      <c r="D26" t="s">
        <v>10</v>
      </c>
      <c r="E26" t="s">
        <v>30</v>
      </c>
      <c r="F26">
        <f t="shared" si="0"/>
        <v>0</v>
      </c>
      <c r="G26">
        <f t="shared" si="1"/>
        <v>999</v>
      </c>
      <c r="H26" t="s">
        <v>14</v>
      </c>
    </row>
    <row r="27" spans="1:8" x14ac:dyDescent="0.55000000000000004">
      <c r="A27" t="s">
        <v>46</v>
      </c>
      <c r="B27" t="s">
        <v>48</v>
      </c>
      <c r="C27">
        <v>179.82</v>
      </c>
      <c r="D27" t="s">
        <v>10</v>
      </c>
      <c r="E27" t="s">
        <v>30</v>
      </c>
      <c r="F27">
        <f t="shared" si="0"/>
        <v>0</v>
      </c>
      <c r="G27">
        <f t="shared" si="1"/>
        <v>179.82</v>
      </c>
      <c r="H27" t="s">
        <v>14</v>
      </c>
    </row>
    <row r="29" spans="1:8" x14ac:dyDescent="0.55000000000000004">
      <c r="B29" t="s">
        <v>49</v>
      </c>
      <c r="C29">
        <f>SUM(C2:C27)</f>
        <v>24952.07</v>
      </c>
    </row>
    <row r="30" spans="1:8" x14ac:dyDescent="0.55000000000000004">
      <c r="B30" t="s">
        <v>50</v>
      </c>
      <c r="C30">
        <f>SUM(F2:F27)</f>
        <v>1009</v>
      </c>
    </row>
    <row r="31" spans="1:8" x14ac:dyDescent="0.55000000000000004">
      <c r="B31" t="s">
        <v>26</v>
      </c>
      <c r="C31">
        <v>1009</v>
      </c>
    </row>
    <row r="32" spans="1:8" x14ac:dyDescent="0.55000000000000004">
      <c r="B32" t="s">
        <v>51</v>
      </c>
      <c r="C32">
        <f>C30-C31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Mehrotra, Sonit</cp:lastModifiedBy>
  <dcterms:created xsi:type="dcterms:W3CDTF">2026-01-24T16:25:53Z</dcterms:created>
  <dcterms:modified xsi:type="dcterms:W3CDTF">2026-02-03T16:09:21Z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2026-01-24T16:26:36Z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f617ab5d-ad99-4e1a-8757-13e28b7dfb32</vt:lpwstr>
  </property>
  <property fmtid="{D5CDD505-2E9C-101B-9397-08002B2CF9AE}" pid="8" name="MSIP_Label_dad3be33-4108-4738-9e07-d8656a181486_ContentBits">
    <vt:lpwstr>0</vt:lpwstr>
  </property>
  <property fmtid="{D5CDD505-2E9C-101B-9397-08002B2CF9AE}" pid="9" name="MSIP_Label_dad3be33-4108-4738-9e07-d8656a181486_Tag">
    <vt:lpwstr>10, 0, 1, 1</vt:lpwstr>
  </property>
</Properties>
</file>